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30110"/>
  <workbookPr autoCompressPictures="0"/>
  <bookViews>
    <workbookView xWindow="0" yWindow="0" windowWidth="0" windowHeight="0" activeTab="1"/>
  </bookViews>
  <sheets>
    <sheet name="Фурманова 193" sheetId="1" r:id="rId1"/>
    <sheet name="Фурманова 177" sheetId="2" r:id="rId2"/>
    <sheet name="Нордик" sheetId="3" r:id="rId3"/>
    <sheet name="Вахова 4" sheetId="5" r:id="rId4"/>
    <sheet name="Даниловского" sheetId="4" r:id="rId5"/>
  </sheets>
  <calcPr/>
</workbook>
</file>

<file path=xl/calcChain.xml><?xml version="1.0" encoding="utf-8"?>
<calcChain xmlns="http://schemas.openxmlformats.org/spreadsheetml/2006/main">
  <c i="3" l="1" r="I21"/>
  <c i="5" r="F5"/>
  <c r="G5"/>
  <c i="1" r="H21"/>
  <c i="2" r="H21"/>
  <c i="1" r="H20"/>
  <c i="5" r="F4"/>
  <c i="3" r="I20"/>
  <c i="2" r="H20"/>
  <c r="H19"/>
  <c i="1" r="H19"/>
  <c i="5" r="F3"/>
  <c i="3" r="I19"/>
  <c r="I18"/>
  <c i="2" r="H18"/>
  <c i="1" r="H18"/>
  <c i="3" r="I17"/>
  <c i="1" r="H17"/>
  <c i="2" r="H17"/>
  <c i="3" r="I16"/>
  <c i="2" r="H16"/>
  <c i="1" r="H16"/>
  <c i="4" r="C17"/>
  <c r="B17"/>
  <c r="H6"/>
  <c r="H5"/>
  <c r="H4"/>
  <c r="H3"/>
  <c i="3" r="I15"/>
  <c r="I14"/>
  <c r="I13"/>
  <c r="K12"/>
  <c r="I12"/>
  <c r="I11"/>
  <c r="H10"/>
  <c r="H9"/>
  <c r="H7"/>
  <c r="H6"/>
  <c r="H5"/>
  <c r="H4"/>
  <c i="2" r="H15"/>
  <c r="H14"/>
  <c r="H13"/>
  <c r="H12"/>
  <c r="H11"/>
  <c r="G10"/>
  <c r="G9"/>
  <c r="G7"/>
  <c r="G6"/>
  <c r="G5"/>
  <c r="G4"/>
  <c i="1" r="H15"/>
  <c r="H14"/>
  <c r="H13"/>
  <c r="H12"/>
  <c r="H11"/>
  <c r="I10"/>
  <c r="I9"/>
  <c r="I7"/>
  <c r="I6"/>
  <c r="I5"/>
  <c r="I4"/>
</calcChain>
</file>

<file path=xl/sharedStrings.xml><?xml version="1.0" encoding="utf-8"?>
<sst xmlns="http://schemas.openxmlformats.org/spreadsheetml/2006/main">
  <si>
    <t>Вода:</t>
  </si>
  <si>
    <t>Э.Э.:</t>
  </si>
  <si>
    <t>Итого</t>
  </si>
  <si>
    <t>Комуналка</t>
  </si>
  <si>
    <t>Э\Э</t>
  </si>
  <si>
    <t>Вода</t>
  </si>
  <si>
    <t>ТКО</t>
  </si>
  <si>
    <t>Домофон</t>
  </si>
  <si>
    <t>Кап. Рем</t>
  </si>
  <si>
    <t>@dropdown</t>
  </si>
  <si>
    <t>Месяц:</t>
  </si>
  <si>
    <t>Холодная кухня</t>
  </si>
  <si>
    <t>Горячая кухня</t>
  </si>
  <si>
    <t>Холодная ванна</t>
  </si>
  <si>
    <t>Горячая ванна</t>
  </si>
  <si>
    <t>День т2</t>
  </si>
  <si>
    <t>Ночь т1</t>
  </si>
  <si>
    <t>Октябрь</t>
  </si>
  <si>
    <t>Ноябрь</t>
  </si>
  <si>
    <t>итого</t>
  </si>
  <si>
    <t>Декабрь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</si>
  <si>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</si>
  <si>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</si>
  <si>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</si>
  <si>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</si>
  <si>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</si>
  <si>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</si>
  <si>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</si>
  <si>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 + Сентябрь</t>
  </si>
  <si>
    <t>Ноябрь\декабрь</t>
  </si>
  <si>
    <t>Март\Апрель</t>
  </si>
  <si>
    <t>Август</t>
  </si>
  <si>
    <t>Сентябрь</t>
  </si>
  <si>
    <t xml:space="preserve">Холодная </t>
  </si>
  <si>
    <t xml:space="preserve">Горячая </t>
  </si>
  <si>
    <t>май</t>
  </si>
  <si>
    <t>Ноябрь\Декабрь</t>
  </si>
  <si>
    <t>Отопление</t>
  </si>
  <si>
    <t>Ночь т2</t>
  </si>
  <si>
    <t>КапРемонт</t>
  </si>
  <si>
    <t>Газ</t>
  </si>
  <si>
    <t>ТВ</t>
  </si>
  <si>
    <t>Кап рем.</t>
  </si>
  <si>
    <t>Э/Э</t>
  </si>
  <si>
    <t>домофон</t>
  </si>
  <si>
    <t>Гар</t>
  </si>
  <si>
    <t>Хол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</si>
</sst>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343E40"/>
      <name val="Calibri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343E4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none">
        <fgColor rgb="FFFFFFFF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/>
    <xf numFmtId="0" fontId="1" fillId="4" borderId="0" xfId="0" applyFont="1" applyFill="1"/>
    <xf numFmtId="0" fontId="1" fillId="5" borderId="0" xfId="0" applyFont="1" applyFill="1"/>
    <xf numFmtId="0" fontId="2" fillId="6" borderId="0" xfId="0" applyFont="1" applyFill="1" applyAlignment="1">
      <alignment wrapText="1"/>
    </xf>
    <xf numFmtId="0" fontId="3" fillId="6" borderId="0" xfId="0" applyFont="1" applyFill="1" applyAlignment="1"/>
    <xf numFmtId="0" fontId="4" fillId="6" borderId="0" xfId="0" applyFont="1" applyFill="1" applyAlignment="1"/>
    <xf numFmtId="0" fontId="2" fillId="0" borderId="0" xfId="0" applyFont="1" applyAlignment="1">
      <alignment wrapText="1"/>
    </xf>
    <xf numFmtId="0" fontId="5" fillId="6" borderId="0" xfId="0" applyFont="1" applyFill="1" applyAlignment="1">
      <alignment horizontal="right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calcChain" Target="calcChain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topLeftCell="A5">
      <selection activeCell="H21" sqref="H21"/>
    </sheetView>
  </sheetViews>
  <sheetFormatPr defaultColWidth="14.42188" defaultRowHeight="15" customHeight="1"/>
  <cols>
    <col min="1" max="1" width="16.42188" customWidth="1"/>
    <col min="2" max="2" width="14.71094" customWidth="1"/>
    <col min="3" max="4" width="15.28125" customWidth="1"/>
    <col min="5" max="5" width="13.71094" customWidth="1"/>
    <col min="6" max="6" width="9.710938" customWidth="1"/>
    <col min="7" max="7" width="11.14063" customWidth="1"/>
    <col min="8" max="8" width="11.28125" customWidth="1"/>
    <col min="9" max="9" width="11.57422" customWidth="1"/>
    <col min="10" max="10" width="14.28125" customWidth="1"/>
    <col min="11" max="11" width="12.57422" customWidth="1"/>
    <col min="12" max="12" width="8.710938" customWidth="1"/>
    <col min="13" max="13" width="10.42188" customWidth="1"/>
    <col min="14" max="14" width="12.14063" customWidth="1"/>
    <col min="15" max="15" width="8.710938" customWidth="1"/>
  </cols>
  <sheetData>
    <row r="1" ht="15" customHeight="1">
      <c r="B1" s="1" t="s">
        <v>0</v>
      </c>
      <c r="C1" s="1"/>
      <c r="D1" s="1">
        <v>422092419</v>
      </c>
      <c r="E1" s="1">
        <v>393033919</v>
      </c>
      <c r="F1" s="2" t="s">
        <v>1</v>
      </c>
      <c r="G1" s="2"/>
      <c r="H1" s="3" t="s">
        <v>2</v>
      </c>
      <c r="I1" s="3" t="s">
        <v>3</v>
      </c>
      <c r="J1" s="4" t="s">
        <v>4</v>
      </c>
      <c r="K1" s="4" t="s">
        <v>5</v>
      </c>
      <c r="L1" s="3" t="s">
        <v>6</v>
      </c>
      <c r="M1" s="3" t="s">
        <v>7</v>
      </c>
      <c r="N1" s="3" t="s">
        <v>8</v>
      </c>
      <c r="O1" s="5" t="s">
        <v>9</v>
      </c>
    </row>
    <row r="2" ht="15" customHeight="1">
      <c r="A2" s="6" t="s">
        <v>10</v>
      </c>
      <c r="B2" s="7" t="s">
        <v>11</v>
      </c>
      <c r="C2" s="7" t="s">
        <v>12</v>
      </c>
      <c r="D2" s="1" t="s">
        <v>13</v>
      </c>
      <c r="E2" s="1" t="s">
        <v>14</v>
      </c>
      <c r="F2" s="2" t="s">
        <v>15</v>
      </c>
      <c r="G2" s="2" t="s">
        <v>16</v>
      </c>
      <c r="L2" s="3"/>
    </row>
    <row r="3" ht="15" customHeight="1">
      <c r="A3" s="3" t="s">
        <v>17</v>
      </c>
      <c r="B3" s="3">
        <v>81.191999999999993</v>
      </c>
      <c r="C3" s="3">
        <v>23.050000000000001</v>
      </c>
      <c r="D3" s="3">
        <v>305.29500000000002</v>
      </c>
      <c r="E3" s="3">
        <v>109.86199999999999</v>
      </c>
      <c r="F3" s="3">
        <v>22520.209999999999</v>
      </c>
      <c r="G3" s="3">
        <v>6114.25</v>
      </c>
    </row>
    <row r="4" ht="15" customHeight="1">
      <c r="A4" s="3" t="s">
        <v>18</v>
      </c>
      <c r="B4" s="3">
        <v>81.191999999999993</v>
      </c>
      <c r="C4" s="3">
        <v>23.050000000000001</v>
      </c>
      <c r="D4" s="3">
        <v>313.202</v>
      </c>
      <c r="E4" s="3">
        <v>111.889</v>
      </c>
      <c r="F4" s="3">
        <v>23114.82</v>
      </c>
      <c r="G4" s="3">
        <v>6259.4200000000001</v>
      </c>
      <c r="H4" s="3" t="s">
        <v>19</v>
      </c>
      <c r="I4" s="3">
        <f>4674.9+553.45+174+1680.55+515.03+2689.12</f>
        <v>10287.049999999999</v>
      </c>
    </row>
    <row r="5" ht="15" customHeight="1">
      <c r="A5" s="3" t="s">
        <v>20</v>
      </c>
      <c r="B5" s="3">
        <v>81.191999999999993</v>
      </c>
      <c r="C5" s="3">
        <v>23.050000000000001</v>
      </c>
      <c r="D5" s="3">
        <v>321.34199999999998</v>
      </c>
      <c r="E5" s="3">
        <v>115.15900000000001</v>
      </c>
      <c r="F5" s="3">
        <v>23819.759999999998</v>
      </c>
      <c r="G5" s="3">
        <v>6468.46</v>
      </c>
      <c r="I5" s="3">
        <f>7969.85+174+880.35+1030.06+549.99+3581.25</f>
        <v>14185.5</v>
      </c>
    </row>
    <row r="6" ht="15" customHeight="1">
      <c r="A6" s="3" t="s">
        <v>21</v>
      </c>
      <c r="B6" s="3">
        <v>81.191999999999993</v>
      </c>
      <c r="C6" s="3">
        <v>23.050000000000001</v>
      </c>
      <c r="D6" s="3">
        <v>330</v>
      </c>
      <c r="E6" s="3">
        <v>120</v>
      </c>
      <c r="F6" s="3">
        <v>24100</v>
      </c>
      <c r="G6" s="3">
        <v>6500</v>
      </c>
      <c r="I6" s="3">
        <f>6250.24+1100+174+4308.79+969.04+515.03</f>
        <v>13317.1</v>
      </c>
    </row>
    <row r="7" ht="15" customHeight="1">
      <c r="A7" s="3" t="s">
        <v>22</v>
      </c>
      <c r="B7" s="3">
        <v>81.191999999999993</v>
      </c>
      <c r="C7" s="3">
        <v>23.050000000000001</v>
      </c>
      <c r="D7" s="3">
        <v>340</v>
      </c>
      <c r="E7" s="3">
        <v>126</v>
      </c>
      <c r="F7" s="3">
        <v>24500</v>
      </c>
      <c r="G7" s="3">
        <v>6530</v>
      </c>
      <c r="I7" s="3">
        <f>11383.48+3663.86+1000+1074.58+515.03+174</f>
        <v>17810.949999999997</v>
      </c>
    </row>
    <row r="8" ht="15" customHeight="1">
      <c r="A8" s="3" t="s">
        <v>23</v>
      </c>
      <c r="B8" s="3">
        <v>81.191999999999993</v>
      </c>
      <c r="C8" s="3">
        <v>23.050000000000001</v>
      </c>
      <c r="D8" s="3">
        <v>350</v>
      </c>
      <c r="E8" s="3">
        <v>132</v>
      </c>
      <c r="F8" s="3">
        <v>25000</v>
      </c>
      <c r="G8" s="3">
        <v>6560</v>
      </c>
    </row>
    <row r="9" ht="15" customHeight="1">
      <c r="A9" s="3" t="s">
        <v>24</v>
      </c>
      <c r="B9" s="3">
        <v>81.191999999999993</v>
      </c>
      <c r="C9" s="3">
        <v>23.050000000000001</v>
      </c>
      <c r="D9" s="3">
        <v>360</v>
      </c>
      <c r="E9" s="3">
        <v>138</v>
      </c>
      <c r="F9" s="3">
        <v>25000</v>
      </c>
      <c r="G9" s="3">
        <v>6590</v>
      </c>
      <c r="I9" s="3">
        <f>1031+3821+174+17003+5708</f>
        <v>27737</v>
      </c>
    </row>
    <row r="10" ht="15" customHeight="1">
      <c r="A10" s="3" t="s">
        <v>25</v>
      </c>
      <c r="B10" s="3">
        <v>81.191999999999993</v>
      </c>
      <c r="C10" s="3">
        <v>23.050000000000001</v>
      </c>
      <c r="D10" s="3">
        <v>370</v>
      </c>
      <c r="E10" s="3">
        <v>142</v>
      </c>
      <c r="F10" s="3">
        <v>26000</v>
      </c>
      <c r="G10" s="3">
        <v>6620</v>
      </c>
      <c r="I10" s="3">
        <f>4805.66+174+76.15+515.03+2693.08+3508.27</f>
        <v>11772.189999999999</v>
      </c>
    </row>
    <row r="11" ht="15" customHeight="1">
      <c r="A11" s="3" t="s">
        <v>26</v>
      </c>
      <c r="B11" s="3">
        <v>81.191999999999993</v>
      </c>
      <c r="C11" s="3">
        <v>23.050000000000001</v>
      </c>
      <c r="D11" s="3">
        <v>380</v>
      </c>
      <c r="E11" s="3">
        <v>150</v>
      </c>
      <c r="F11" s="3">
        <v>26761</v>
      </c>
      <c r="G11" s="3">
        <v>7184</v>
      </c>
      <c r="H11" s="3">
        <f t="shared" ref="H11:H15" si="0">I11+J11+K11+L11+M11+N11</f>
        <v>7569.6599999999999</v>
      </c>
      <c r="I11" s="3">
        <v>3869.3000000000002</v>
      </c>
      <c r="J11" s="3">
        <v>1</v>
      </c>
      <c r="K11" s="3">
        <v>1560.8800000000001</v>
      </c>
      <c r="L11" s="3">
        <v>1030.0599999999999</v>
      </c>
      <c r="M11" s="3">
        <v>174</v>
      </c>
      <c r="N11" s="3">
        <v>934.41999999999996</v>
      </c>
    </row>
    <row r="12" ht="15" customHeight="1">
      <c r="A12" s="5" t="s">
        <v>27</v>
      </c>
      <c r="B12" s="3">
        <v>81.191999999999993</v>
      </c>
      <c r="C12" s="3">
        <v>23.050000000000001</v>
      </c>
      <c r="D12" s="5">
        <v>381</v>
      </c>
      <c r="E12" s="5">
        <v>150</v>
      </c>
      <c r="F12" s="5">
        <v>27659</v>
      </c>
      <c r="G12" s="5">
        <v>7327</v>
      </c>
      <c r="H12" s="3">
        <f t="shared" si="0"/>
        <v>9485.7200000000012</v>
      </c>
      <c r="I12" s="5">
        <v>3869.3000000000002</v>
      </c>
      <c r="J12" s="5">
        <v>2832.79</v>
      </c>
      <c r="K12" s="5">
        <v>1622.6800000000001</v>
      </c>
      <c r="L12" s="5">
        <v>52.530000000000001</v>
      </c>
      <c r="M12" s="3">
        <v>174</v>
      </c>
      <c r="N12" s="3">
        <v>934.41999999999996</v>
      </c>
    </row>
    <row r="13" ht="15" customHeight="1">
      <c r="A13" s="5" t="s">
        <v>28</v>
      </c>
      <c r="B13" s="3">
        <v>81.191999999999993</v>
      </c>
      <c r="C13" s="3">
        <v>23.050000000000001</v>
      </c>
      <c r="D13" s="5">
        <v>385</v>
      </c>
      <c r="E13" s="5">
        <v>150</v>
      </c>
      <c r="F13" s="5">
        <v>28659</v>
      </c>
      <c r="G13" s="5">
        <v>7500</v>
      </c>
      <c r="H13" s="5">
        <f t="shared" si="0"/>
        <v>21641.639999999999</v>
      </c>
      <c r="I13" s="5">
        <v>8746.7399999999998</v>
      </c>
      <c r="J13" s="5">
        <v>8155.0500000000002</v>
      </c>
      <c r="K13" s="5">
        <v>1418.3399999999999</v>
      </c>
      <c r="L13" s="5">
        <v>1135.1199999999999</v>
      </c>
      <c r="M13" s="5">
        <v>348</v>
      </c>
      <c r="N13" s="5">
        <v>1838.3900000000001</v>
      </c>
    </row>
    <row r="14" ht="15" customHeight="1">
      <c r="A14" s="5" t="s">
        <v>17</v>
      </c>
      <c r="B14" s="3">
        <v>81.191999999999993</v>
      </c>
      <c r="C14" s="3">
        <v>23.050000000000001</v>
      </c>
      <c r="D14" s="5">
        <v>395</v>
      </c>
      <c r="E14" s="5">
        <v>160</v>
      </c>
      <c r="F14" s="5">
        <v>29350</v>
      </c>
      <c r="G14" s="5">
        <v>7700</v>
      </c>
      <c r="H14" s="5">
        <f t="shared" si="0"/>
        <v>11838.82</v>
      </c>
      <c r="I14" s="5">
        <v>5898.1899999999996</v>
      </c>
      <c r="J14" s="5">
        <v>3338.4400000000001</v>
      </c>
      <c r="K14" s="5">
        <v>997.36000000000001</v>
      </c>
      <c r="L14" s="5">
        <v>567.55999999999995</v>
      </c>
      <c r="M14" s="5">
        <v>114</v>
      </c>
      <c r="N14" s="5">
        <v>923.26999999999998</v>
      </c>
    </row>
    <row r="15" ht="15" customHeight="1">
      <c r="A15" t="s">
        <v>29</v>
      </c>
      <c r="B15" s="3">
        <v>81.191999999999993</v>
      </c>
      <c r="C15" s="3">
        <v>23.050000000000001</v>
      </c>
      <c r="D15">
        <v>400</v>
      </c>
      <c r="E15">
        <v>170</v>
      </c>
      <c r="F15">
        <v>29900</v>
      </c>
      <c r="G15">
        <v>8000</v>
      </c>
      <c r="H15" s="5">
        <f t="shared" si="0"/>
        <v>35442.690000000002</v>
      </c>
      <c r="I15">
        <v>21769</v>
      </c>
      <c r="J15">
        <v>7726.4499999999998</v>
      </c>
      <c r="K15">
        <v>2617.5799999999999</v>
      </c>
      <c r="L15">
        <v>1135.1199999999999</v>
      </c>
      <c r="M15">
        <v>348</v>
      </c>
      <c r="N15">
        <v>1846.54</v>
      </c>
    </row>
    <row r="16" ht="15" customHeight="1">
      <c r="A16" t="s">
        <v>21</v>
      </c>
      <c r="B16" s="3">
        <v>81.191999999999993</v>
      </c>
      <c r="C16" s="3">
        <v>23.050000000000001</v>
      </c>
      <c r="D16">
        <v>420</v>
      </c>
      <c r="E16">
        <v>180</v>
      </c>
      <c r="F16">
        <v>30500</v>
      </c>
      <c r="G16">
        <v>8300</v>
      </c>
      <c r="H16">
        <f>I16+J16+K16+L16+M16+N16</f>
        <v>19815.260000000002</v>
      </c>
      <c r="I16">
        <v>13633.09</v>
      </c>
      <c r="J16">
        <v>3200</v>
      </c>
      <c r="K16">
        <v>1269.9300000000001</v>
      </c>
      <c r="L16">
        <v>567.55999999999995</v>
      </c>
      <c r="M16">
        <v>174</v>
      </c>
      <c r="N16">
        <v>970.67999999999995</v>
      </c>
    </row>
    <row r="17" ht="15" customHeight="1">
      <c r="A17" t="s">
        <v>22</v>
      </c>
      <c r="B17" s="3">
        <v>81.191999999999993</v>
      </c>
      <c r="C17" s="3">
        <v>23.050000000000001</v>
      </c>
      <c r="D17">
        <v>440</v>
      </c>
      <c r="E17">
        <v>190</v>
      </c>
      <c r="F17">
        <v>31000</v>
      </c>
      <c r="G17">
        <v>8700</v>
      </c>
      <c r="H17">
        <f>I17+J17+K17+L17+M17+N17</f>
        <v>20465.779999999999</v>
      </c>
      <c r="I17">
        <v>13217.549999999999</v>
      </c>
      <c r="J17">
        <v>2997.8099999999999</v>
      </c>
      <c r="K17">
        <v>1980.23</v>
      </c>
      <c r="L17">
        <v>1135.1199999999999</v>
      </c>
      <c r="M17">
        <v>174</v>
      </c>
      <c r="N17">
        <v>961.07000000000005</v>
      </c>
    </row>
    <row r="18" ht="15" customHeight="1">
      <c r="A18" t="s">
        <v>30</v>
      </c>
      <c r="B18" s="3">
        <v>81.191999999999993</v>
      </c>
      <c r="C18" s="3">
        <v>23.050000000000001</v>
      </c>
      <c r="D18">
        <v>440</v>
      </c>
      <c r="E18">
        <v>190</v>
      </c>
      <c r="F18">
        <v>31000</v>
      </c>
      <c r="G18">
        <v>8700</v>
      </c>
      <c r="H18">
        <f>I18+J18+K18+L18+M18+N18</f>
        <v>32407.130000000001</v>
      </c>
      <c r="I18">
        <v>18829</v>
      </c>
      <c r="J18">
        <v>7058.9200000000001</v>
      </c>
      <c r="K18">
        <v>3681.5100000000002</v>
      </c>
      <c r="L18">
        <v>567.55999999999995</v>
      </c>
      <c r="M18">
        <v>348</v>
      </c>
      <c r="N18">
        <v>1922.1400000000001</v>
      </c>
    </row>
    <row r="19" ht="15" customHeight="1">
      <c r="A19" t="s">
        <v>27</v>
      </c>
      <c r="B19" s="3">
        <v>81.191999999999993</v>
      </c>
      <c r="C19" s="3">
        <v>23.050000000000001</v>
      </c>
      <c r="D19">
        <v>460</v>
      </c>
      <c r="E19">
        <v>210</v>
      </c>
      <c r="F19">
        <v>32000</v>
      </c>
      <c r="G19">
        <v>8900</v>
      </c>
      <c r="H19">
        <f>I19+J19+K19+L19+M19+N19</f>
        <v>10831.170000000002</v>
      </c>
      <c r="I19">
        <v>4863.5200000000004</v>
      </c>
      <c r="J19">
        <v>3781.27</v>
      </c>
      <c r="K19">
        <v>483.79000000000002</v>
      </c>
      <c r="L19">
        <v>567.51999999999998</v>
      </c>
      <c r="M19">
        <v>174</v>
      </c>
      <c r="N19">
        <v>961.07000000000005</v>
      </c>
    </row>
    <row r="20" ht="15" customHeight="1">
      <c r="A20" t="s">
        <v>31</v>
      </c>
      <c r="B20" s="3">
        <v>81.191999999999993</v>
      </c>
      <c r="C20" s="3">
        <v>23.050000000000001</v>
      </c>
      <c r="D20">
        <v>470</v>
      </c>
      <c r="E20">
        <v>220</v>
      </c>
      <c r="F20">
        <v>33500</v>
      </c>
      <c r="G20">
        <v>8950</v>
      </c>
      <c r="H20">
        <f>I20+J20+K20+L20+M20+N20</f>
        <v>12016.969999999999</v>
      </c>
      <c r="I20">
        <v>4903.4799999999996</v>
      </c>
      <c r="J20">
        <v>3907.3099999999999</v>
      </c>
      <c r="K20">
        <v>1503.5899999999999</v>
      </c>
      <c r="L20">
        <v>567.51999999999998</v>
      </c>
      <c r="M20">
        <v>174</v>
      </c>
      <c r="N20">
        <v>961.07000000000005</v>
      </c>
    </row>
    <row r="21" ht="15.75" customHeight="1">
      <c r="A21" t="s">
        <v>32</v>
      </c>
      <c r="B21" s="3">
        <v>81.191999999999993</v>
      </c>
      <c r="C21" s="3">
        <v>23.050000000000001</v>
      </c>
      <c r="D21">
        <v>469</v>
      </c>
      <c r="F21">
        <v>34058</v>
      </c>
      <c r="G21">
        <v>9083</v>
      </c>
      <c r="H21">
        <f>I21+J21+K21+L21+M21+N21</f>
        <v>8466</v>
      </c>
      <c r="I21">
        <v>4865.1999999999998</v>
      </c>
      <c r="J21">
        <v>1102.5799999999999</v>
      </c>
      <c r="K21">
        <v>795.63</v>
      </c>
      <c r="L21">
        <v>567.51999999999998</v>
      </c>
      <c r="M21">
        <v>174</v>
      </c>
      <c r="N21">
        <v>961.07000000000005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 topLeftCell="A9">
      <selection activeCell="H21" sqref="H21"/>
    </sheetView>
  </sheetViews>
  <sheetFormatPr defaultColWidth="14.42188" defaultRowHeight="15" customHeight="1"/>
  <cols>
    <col min="1" max="1" width="17.85156" customWidth="1"/>
    <col min="2" max="2" width="14.71094" customWidth="1"/>
    <col min="3" max="3" width="13.28125" customWidth="1"/>
    <col min="4" max="6" width="8.710938" customWidth="1"/>
    <col min="7" max="7" width="11.57422" customWidth="1"/>
    <col min="8" max="8" width="8.710938" customWidth="1"/>
    <col min="9" max="9" width="11.57422" customWidth="1"/>
    <col min="10" max="12" width="8.710938" customWidth="1"/>
    <col min="13" max="13" width="10.28125" customWidth="1"/>
    <col min="14" max="14" width="8.710938" customWidth="1"/>
  </cols>
  <sheetData>
    <row r="1" ht="15" customHeight="1">
      <c r="B1" s="1" t="s">
        <v>0</v>
      </c>
      <c r="C1" s="1"/>
      <c r="D1" s="2" t="s">
        <v>1</v>
      </c>
      <c r="E1" s="2"/>
      <c r="H1" s="3" t="s">
        <v>2</v>
      </c>
      <c r="I1" s="3" t="s">
        <v>3</v>
      </c>
      <c r="J1" s="4" t="s">
        <v>4</v>
      </c>
      <c r="K1" s="4" t="s">
        <v>5</v>
      </c>
      <c r="L1" s="3" t="s">
        <v>6</v>
      </c>
      <c r="M1" s="3" t="s">
        <v>7</v>
      </c>
      <c r="N1" s="3" t="s">
        <v>8</v>
      </c>
    </row>
    <row r="2" ht="15" customHeight="1">
      <c r="A2" s="6" t="s">
        <v>10</v>
      </c>
      <c r="B2" s="1" t="s">
        <v>33</v>
      </c>
      <c r="C2" s="1" t="s">
        <v>34</v>
      </c>
      <c r="D2" s="2" t="s">
        <v>15</v>
      </c>
      <c r="E2" s="2" t="s">
        <v>16</v>
      </c>
    </row>
    <row r="3" ht="15" customHeight="1">
      <c r="A3" s="3" t="s">
        <v>17</v>
      </c>
      <c r="B3" s="3">
        <v>676.91099999999994</v>
      </c>
      <c r="C3" s="3">
        <v>326.48000000000002</v>
      </c>
      <c r="D3" s="3">
        <v>12030</v>
      </c>
      <c r="E3" s="3">
        <v>3894</v>
      </c>
    </row>
    <row r="4" ht="15" customHeight="1">
      <c r="A4" s="3" t="s">
        <v>18</v>
      </c>
      <c r="B4" s="3">
        <v>681.96500000000003</v>
      </c>
      <c r="C4" s="3">
        <v>328.74099999999999</v>
      </c>
      <c r="D4" s="3">
        <v>12106.65</v>
      </c>
      <c r="E4" s="3">
        <v>3922.1100000000001</v>
      </c>
      <c r="F4" s="3" t="s">
        <v>19</v>
      </c>
      <c r="G4" s="3">
        <f>160.63+174+96.81+150.42+3671+1276.91</f>
        <v>5529.7699999999995</v>
      </c>
    </row>
    <row r="5" ht="15" customHeight="1">
      <c r="A5" s="3" t="s">
        <v>20</v>
      </c>
      <c r="B5" s="3">
        <v>687.28200000000004</v>
      </c>
      <c r="C5" s="3">
        <v>331.74000000000001</v>
      </c>
      <c r="D5" s="3">
        <v>12166.690000000001</v>
      </c>
      <c r="E5" s="3">
        <v>3942.4400000000001</v>
      </c>
      <c r="G5" s="3">
        <f>2522.67+174+160.63+744.66+150.42+479.71+500</f>
        <v>4732.0900000000001</v>
      </c>
    </row>
    <row r="6" ht="15" customHeight="1">
      <c r="A6" s="3" t="s">
        <v>21</v>
      </c>
      <c r="B6" s="3">
        <v>691</v>
      </c>
      <c r="C6" s="3">
        <v>335</v>
      </c>
      <c r="D6" s="3">
        <v>12200</v>
      </c>
      <c r="E6" s="3">
        <v>3962</v>
      </c>
      <c r="G6" s="3">
        <f>4810.83+160.63+777.82+150.42+366.6+174</f>
        <v>6440.3000000000002</v>
      </c>
    </row>
    <row r="7" ht="15" customHeight="1">
      <c r="A7" s="3" t="s">
        <v>22</v>
      </c>
      <c r="B7" s="3">
        <v>700</v>
      </c>
      <c r="C7" s="3">
        <v>340</v>
      </c>
      <c r="D7" s="3">
        <v>12230</v>
      </c>
      <c r="E7" s="3">
        <v>3982</v>
      </c>
      <c r="G7" s="3">
        <f>4679.13+269.65+738.78+150.42+174+582.9</f>
        <v>6594.8799999999992</v>
      </c>
    </row>
    <row r="8" ht="15" customHeight="1">
      <c r="A8" s="3" t="s">
        <v>23</v>
      </c>
    </row>
    <row r="9" ht="15" customHeight="1">
      <c r="A9" s="3" t="s">
        <v>24</v>
      </c>
      <c r="B9" s="3">
        <v>667</v>
      </c>
      <c r="C9" s="3">
        <v>349</v>
      </c>
      <c r="D9" s="3">
        <v>12450</v>
      </c>
      <c r="E9" s="3">
        <v>4052</v>
      </c>
      <c r="G9" s="3">
        <f>545+9+5883+1908+301+174</f>
        <v>8820</v>
      </c>
    </row>
    <row r="10" ht="15" customHeight="1">
      <c r="A10" s="3" t="s">
        <v>35</v>
      </c>
      <c r="B10" s="3">
        <v>680</v>
      </c>
      <c r="C10" s="3">
        <v>352</v>
      </c>
      <c r="D10" s="3">
        <v>12480</v>
      </c>
      <c r="E10" s="3">
        <v>4060</v>
      </c>
      <c r="G10" s="3">
        <f>3031.51+507.66+174+663.16+150.42+269.65</f>
        <v>4796.3999999999996</v>
      </c>
    </row>
    <row r="11" ht="15" customHeight="1">
      <c r="A11" s="3" t="s">
        <v>26</v>
      </c>
      <c r="B11" s="3">
        <v>683</v>
      </c>
      <c r="C11" s="3">
        <v>354</v>
      </c>
      <c r="D11" s="3">
        <v>12500</v>
      </c>
      <c r="E11" s="3">
        <v>4065</v>
      </c>
      <c r="H11" s="3">
        <f t="shared" ref="H11:H15" si="0">I11+J11+K11+L11+M11+N11</f>
        <v>3729.4700000000003</v>
      </c>
      <c r="I11" s="3">
        <v>1454.2</v>
      </c>
      <c r="J11" s="3">
        <v>181.78</v>
      </c>
      <c r="K11" s="3">
        <v>1349</v>
      </c>
      <c r="L11" s="3">
        <v>300.83999999999997</v>
      </c>
      <c r="M11" s="3">
        <v>174</v>
      </c>
      <c r="N11" s="3">
        <v>269.64999999999998</v>
      </c>
    </row>
    <row r="12" ht="15" customHeight="1">
      <c r="A12" s="5" t="s">
        <v>27</v>
      </c>
      <c r="B12" s="5">
        <v>685</v>
      </c>
      <c r="C12" s="5">
        <v>356</v>
      </c>
      <c r="D12" s="5">
        <v>12770</v>
      </c>
      <c r="E12" s="5">
        <v>4170</v>
      </c>
      <c r="H12" s="3">
        <f t="shared" si="0"/>
        <v>5062.1899999999996</v>
      </c>
      <c r="I12" s="5">
        <v>1454.2</v>
      </c>
      <c r="J12" s="5">
        <v>1800</v>
      </c>
      <c r="K12" s="5">
        <v>1349</v>
      </c>
      <c r="L12" s="5">
        <v>15.34</v>
      </c>
      <c r="M12" s="3">
        <v>174</v>
      </c>
      <c r="N12" s="3">
        <v>269.64999999999998</v>
      </c>
    </row>
    <row r="13" ht="15" customHeight="1">
      <c r="A13" s="5" t="s">
        <v>28</v>
      </c>
      <c r="B13" s="5">
        <v>694</v>
      </c>
      <c r="C13" s="5">
        <v>358</v>
      </c>
      <c r="D13" s="5">
        <v>12775</v>
      </c>
      <c r="E13" s="5">
        <v>4173</v>
      </c>
      <c r="H13" s="5">
        <f t="shared" si="0"/>
        <v>7857.29</v>
      </c>
      <c r="I13" s="5">
        <v>3354.23</v>
      </c>
      <c r="J13" s="5">
        <v>2229.1900000000001</v>
      </c>
      <c r="K13" s="5">
        <v>1055.05</v>
      </c>
      <c r="L13" s="5">
        <v>331.51999999999998</v>
      </c>
      <c r="M13" s="3">
        <v>348</v>
      </c>
      <c r="N13" s="3">
        <v>539.29999999999995</v>
      </c>
    </row>
    <row r="14" ht="15" customHeight="1">
      <c r="A14" s="5" t="s">
        <v>17</v>
      </c>
      <c r="B14" s="5">
        <v>700</v>
      </c>
      <c r="C14" s="5">
        <v>363</v>
      </c>
      <c r="D14" s="5">
        <v>12830</v>
      </c>
      <c r="E14" s="5">
        <v>4178</v>
      </c>
      <c r="H14" s="5">
        <f t="shared" si="0"/>
        <v>3934.0099999999998</v>
      </c>
      <c r="I14" s="5">
        <v>2399.5</v>
      </c>
      <c r="J14" s="5">
        <v>720</v>
      </c>
      <c r="K14" s="5">
        <v>265.10000000000002</v>
      </c>
      <c r="L14" s="5">
        <v>165.75999999999999</v>
      </c>
      <c r="M14" s="5">
        <v>114</v>
      </c>
      <c r="N14" s="5">
        <v>269.64999999999998</v>
      </c>
    </row>
    <row r="15" ht="15" customHeight="1">
      <c r="A15" t="s">
        <v>36</v>
      </c>
      <c r="B15">
        <v>706</v>
      </c>
      <c r="C15">
        <v>366</v>
      </c>
      <c r="D15">
        <v>12855</v>
      </c>
      <c r="E15">
        <v>4182</v>
      </c>
      <c r="H15">
        <f t="shared" si="0"/>
        <v>11598.58</v>
      </c>
      <c r="I15">
        <v>7501.6000000000004</v>
      </c>
      <c r="J15">
        <v>1067.23</v>
      </c>
      <c r="K15">
        <v>1805.54</v>
      </c>
      <c r="L15">
        <v>331.51999999999998</v>
      </c>
      <c r="M15">
        <v>348</v>
      </c>
      <c r="N15">
        <v>544.69000000000005</v>
      </c>
    </row>
    <row r="16" ht="15" customHeight="1">
      <c r="A16" t="s">
        <v>21</v>
      </c>
      <c r="B16">
        <v>719</v>
      </c>
      <c r="C16">
        <v>372</v>
      </c>
      <c r="D16">
        <v>12890</v>
      </c>
      <c r="E16">
        <v>4190</v>
      </c>
      <c r="H16">
        <f>I16+J16+K16+L16+M16+N16</f>
        <v>5719.3099999999995</v>
      </c>
      <c r="I16">
        <v>4127.6599999999999</v>
      </c>
      <c r="J16">
        <v>64</v>
      </c>
      <c r="K16">
        <v>918</v>
      </c>
      <c r="L16">
        <v>166</v>
      </c>
      <c r="M16">
        <v>174</v>
      </c>
      <c r="N16">
        <v>269.64999999999998</v>
      </c>
    </row>
    <row r="17" ht="15" customHeight="1">
      <c r="A17" t="s">
        <v>22</v>
      </c>
      <c r="B17">
        <v>725</v>
      </c>
      <c r="C17">
        <v>375</v>
      </c>
      <c r="D17">
        <v>12920</v>
      </c>
      <c r="E17">
        <v>4200</v>
      </c>
      <c r="H17">
        <f>I17+J17+K17+L17+M17+N17</f>
        <v>6342.8099999999995</v>
      </c>
      <c r="I17">
        <v>3944.3499999999999</v>
      </c>
      <c r="J17">
        <v>620.88999999999999</v>
      </c>
      <c r="K17">
        <v>980.32000000000005</v>
      </c>
      <c r="L17">
        <v>331.51999999999998</v>
      </c>
      <c r="M17">
        <v>174</v>
      </c>
      <c r="N17">
        <v>291.73000000000002</v>
      </c>
    </row>
    <row r="18" ht="15" customHeight="1">
      <c r="A18" t="s">
        <v>30</v>
      </c>
      <c r="B18">
        <v>760</v>
      </c>
      <c r="C18">
        <v>360</v>
      </c>
      <c r="D18">
        <v>13571</v>
      </c>
      <c r="E18">
        <v>4431</v>
      </c>
      <c r="H18">
        <f>I18+J18+K18+L18+M18+N18</f>
        <v>9789.4500000000007</v>
      </c>
      <c r="I18">
        <v>5919.4300000000003</v>
      </c>
      <c r="J18">
        <v>658</v>
      </c>
      <c r="K18">
        <v>2136.8800000000001</v>
      </c>
      <c r="L18">
        <v>165.75999999999999</v>
      </c>
      <c r="M18">
        <v>348</v>
      </c>
      <c r="N18">
        <v>561.38</v>
      </c>
    </row>
    <row r="19" ht="15" customHeight="1">
      <c r="A19" t="s">
        <v>27</v>
      </c>
      <c r="B19">
        <v>765</v>
      </c>
      <c r="C19">
        <v>370</v>
      </c>
      <c r="D19">
        <v>13600</v>
      </c>
      <c r="E19">
        <v>4440</v>
      </c>
      <c r="H19">
        <f>J19+K19+L19+M19+N19</f>
        <v>2299.9299999999998</v>
      </c>
      <c r="I19">
        <v>0</v>
      </c>
      <c r="J19">
        <v>662.66999999999996</v>
      </c>
      <c r="K19">
        <v>1016.8099999999999</v>
      </c>
      <c r="L19">
        <v>165.75999999999999</v>
      </c>
      <c r="M19">
        <v>174</v>
      </c>
      <c r="N19">
        <v>280.69</v>
      </c>
    </row>
    <row r="20" ht="15" customHeight="1">
      <c r="A20" t="s">
        <v>31</v>
      </c>
      <c r="B20">
        <v>770</v>
      </c>
      <c r="C20">
        <v>375</v>
      </c>
      <c r="D20">
        <v>13630</v>
      </c>
      <c r="E20">
        <v>4445</v>
      </c>
      <c r="H20">
        <f>I20+J20+K20+L20+M20+N20</f>
        <v>2717.2100000000005</v>
      </c>
      <c r="I20">
        <v>0</v>
      </c>
      <c r="J20">
        <v>684.75999999999999</v>
      </c>
      <c r="K20">
        <v>1412</v>
      </c>
      <c r="L20">
        <v>165.75999999999999</v>
      </c>
      <c r="M20">
        <v>174</v>
      </c>
      <c r="N20">
        <v>280.69</v>
      </c>
    </row>
    <row r="21" ht="15.75" customHeight="1">
      <c r="A21" t="s">
        <v>32</v>
      </c>
      <c r="B21">
        <v>777</v>
      </c>
      <c r="C21">
        <v>379</v>
      </c>
      <c r="D21">
        <v>13640</v>
      </c>
      <c r="E21">
        <v>4450</v>
      </c>
      <c r="H21">
        <f>I21+J21+K21+L21+M21+N21</f>
        <v>3712.8800000000006</v>
      </c>
      <c r="I21">
        <v>671.23000000000002</v>
      </c>
      <c r="J21">
        <v>1609.6099999999999</v>
      </c>
      <c r="K21">
        <v>811.59000000000003</v>
      </c>
      <c r="L21">
        <v>165.75999999999999</v>
      </c>
      <c r="M21">
        <v>174</v>
      </c>
      <c r="N21">
        <v>280.69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 topLeftCell="A9">
      <selection activeCell="I21" sqref="I21"/>
    </sheetView>
  </sheetViews>
  <sheetFormatPr defaultColWidth="14.42188" defaultRowHeight="15" customHeight="1"/>
  <cols>
    <col min="1" max="1" width="17.42188" customWidth="1"/>
    <col min="2" max="2" width="14.71094" customWidth="1"/>
    <col min="3" max="3" width="13.28125" customWidth="1"/>
    <col min="4" max="8" width="8.710938" customWidth="1"/>
    <col min="9" max="9" width="12.57422" customWidth="1"/>
    <col min="10" max="10" width="8.710938" customWidth="1"/>
    <col min="11" max="11" width="8.851563" customWidth="1"/>
    <col min="12" max="12" width="10.71094" customWidth="1"/>
    <col min="13" max="16" width="8.710938" customWidth="1"/>
  </cols>
  <sheetData>
    <row r="1" ht="15" customHeight="1">
      <c r="B1" s="1" t="s">
        <v>0</v>
      </c>
      <c r="C1" s="1"/>
      <c r="D1" s="2" t="s">
        <v>1</v>
      </c>
      <c r="E1" s="2"/>
      <c r="I1" s="3" t="s">
        <v>2</v>
      </c>
      <c r="J1" s="3" t="s">
        <v>3</v>
      </c>
      <c r="K1" s="4" t="s">
        <v>4</v>
      </c>
      <c r="L1" s="8" t="s">
        <v>37</v>
      </c>
      <c r="M1" s="3" t="s">
        <v>6</v>
      </c>
      <c r="N1" s="3" t="s">
        <v>7</v>
      </c>
      <c r="O1" s="3" t="s">
        <v>8</v>
      </c>
      <c r="P1" s="5" t="s">
        <v>5</v>
      </c>
    </row>
    <row r="2" ht="15" customHeight="1">
      <c r="A2" s="6" t="s">
        <v>10</v>
      </c>
      <c r="B2" s="1" t="s">
        <v>33</v>
      </c>
      <c r="C2" s="1" t="s">
        <v>34</v>
      </c>
      <c r="D2" s="2" t="s">
        <v>15</v>
      </c>
      <c r="E2" s="2" t="s">
        <v>38</v>
      </c>
      <c r="L2" s="9"/>
    </row>
    <row r="3" ht="15" customHeight="1">
      <c r="A3" s="3" t="s">
        <v>17</v>
      </c>
      <c r="B3" s="3">
        <v>28</v>
      </c>
      <c r="C3" s="3">
        <v>11</v>
      </c>
      <c r="D3" s="3">
        <v>1923</v>
      </c>
      <c r="E3" s="3">
        <v>0.10000000000000001</v>
      </c>
      <c r="L3" s="9"/>
    </row>
    <row r="4" ht="15" customHeight="1">
      <c r="A4" s="3" t="s">
        <v>18</v>
      </c>
      <c r="B4" s="3">
        <v>40.612000000000002</v>
      </c>
      <c r="C4" s="3">
        <v>11.028</v>
      </c>
      <c r="D4" s="3">
        <v>1930</v>
      </c>
      <c r="E4" s="3">
        <v>0.11</v>
      </c>
      <c r="G4" s="3" t="s">
        <v>19</v>
      </c>
      <c r="H4" s="3">
        <f>1615.51+1666.48+185.3+3375.6</f>
        <v>6842.8899999999994</v>
      </c>
      <c r="L4" s="9"/>
    </row>
    <row r="5" ht="15" customHeight="1">
      <c r="A5" s="3" t="s">
        <v>20</v>
      </c>
      <c r="B5" s="3">
        <v>47.244</v>
      </c>
      <c r="C5" s="3">
        <v>11.028</v>
      </c>
      <c r="D5" s="3">
        <v>2493.0599999999999</v>
      </c>
      <c r="E5" s="3">
        <v>0.11</v>
      </c>
      <c r="H5" s="3">
        <f>1696.94+183.3+2124.2+500</f>
        <v>4504.4399999999996</v>
      </c>
      <c r="L5" s="9"/>
    </row>
    <row r="6" ht="15" customHeight="1">
      <c r="A6" s="3" t="s">
        <v>21</v>
      </c>
      <c r="B6" s="3">
        <v>50</v>
      </c>
      <c r="C6" s="3">
        <v>11.028</v>
      </c>
      <c r="D6" s="3">
        <v>2593</v>
      </c>
      <c r="E6" s="3">
        <v>0.11</v>
      </c>
      <c r="G6" s="3" t="s">
        <v>19</v>
      </c>
      <c r="H6" s="3">
        <f>1062.1+1733.98+185.3</f>
        <v>2981.3800000000001</v>
      </c>
      <c r="L6" s="9"/>
    </row>
    <row r="7" ht="15" customHeight="1">
      <c r="A7" s="3" t="s">
        <v>22</v>
      </c>
      <c r="B7" s="3">
        <v>53</v>
      </c>
      <c r="C7" s="3">
        <v>11.028</v>
      </c>
      <c r="D7" s="3">
        <v>2620</v>
      </c>
      <c r="E7" s="3">
        <v>0.11</v>
      </c>
      <c r="H7" s="3">
        <f>2135.38+3135.98+186+1500</f>
        <v>6957.3600000000006</v>
      </c>
      <c r="L7" s="9"/>
    </row>
    <row r="8" ht="15" customHeight="1">
      <c r="A8" s="3" t="s">
        <v>23</v>
      </c>
      <c r="B8" s="3">
        <v>56</v>
      </c>
      <c r="C8" s="3">
        <v>11.028</v>
      </c>
      <c r="D8" s="3">
        <v>2640</v>
      </c>
      <c r="E8" s="3">
        <v>0.11</v>
      </c>
      <c r="L8" s="9"/>
    </row>
    <row r="9" ht="15" customHeight="1">
      <c r="A9" s="3" t="s">
        <v>24</v>
      </c>
      <c r="B9" s="3">
        <v>60</v>
      </c>
      <c r="C9" s="3">
        <v>11.028</v>
      </c>
      <c r="D9" s="3">
        <v>2660</v>
      </c>
      <c r="E9" s="3">
        <v>0.11</v>
      </c>
      <c r="H9" s="3">
        <f>10+370+10</f>
        <v>390</v>
      </c>
      <c r="L9" s="9"/>
    </row>
    <row r="10" ht="15" customHeight="1">
      <c r="A10" s="3" t="s">
        <v>25</v>
      </c>
      <c r="B10" s="3">
        <v>64</v>
      </c>
      <c r="C10" s="3">
        <v>11.028</v>
      </c>
      <c r="D10" s="3">
        <v>2680</v>
      </c>
      <c r="E10" s="3">
        <v>0.11</v>
      </c>
      <c r="H10" s="3">
        <f>185.3+1132.07+1035.33+211.08</f>
        <v>2563.7799999999997</v>
      </c>
      <c r="L10" s="9"/>
    </row>
    <row r="11" ht="15" customHeight="1">
      <c r="A11" s="3" t="s">
        <v>26</v>
      </c>
      <c r="B11" s="3">
        <v>68</v>
      </c>
      <c r="C11" s="3">
        <v>11.028</v>
      </c>
      <c r="D11" s="3">
        <v>2685</v>
      </c>
      <c r="E11" s="3">
        <v>0.10000000000000001</v>
      </c>
      <c r="I11" s="3">
        <f t="shared" ref="I11:I12" si="0">J11+K11+L11+M11</f>
        <v>2913.75</v>
      </c>
      <c r="J11" s="3">
        <v>1509</v>
      </c>
      <c r="K11" s="3">
        <v>1034.1500000000001</v>
      </c>
      <c r="L11" s="10"/>
      <c r="M11" s="3">
        <v>370.60000000000002</v>
      </c>
    </row>
    <row r="12" ht="15" customHeight="1">
      <c r="A12" s="5" t="s">
        <v>27</v>
      </c>
      <c r="B12" s="3">
        <v>70</v>
      </c>
      <c r="C12" s="3">
        <v>11.028</v>
      </c>
      <c r="D12" s="5">
        <v>2690</v>
      </c>
      <c r="E12" s="3">
        <v>0.10000000000000001</v>
      </c>
      <c r="I12" s="3">
        <f t="shared" si="0"/>
        <v>2667.2599999999998</v>
      </c>
      <c r="J12" s="5">
        <v>1467.46</v>
      </c>
      <c r="K12" s="5">
        <f>11.62+1169.28</f>
        <v>1180.8999999999999</v>
      </c>
      <c r="L12" s="9"/>
      <c r="M12" s="5">
        <v>18.899999999999999</v>
      </c>
    </row>
    <row r="13" ht="15" customHeight="1">
      <c r="A13" s="5" t="s">
        <v>28</v>
      </c>
      <c r="B13" s="5">
        <v>72</v>
      </c>
      <c r="C13" s="3">
        <v>11.028</v>
      </c>
      <c r="D13" s="5">
        <v>2695</v>
      </c>
      <c r="E13" s="5">
        <v>0.10000000000000001</v>
      </c>
      <c r="I13" s="5">
        <f>J13+K13+M13</f>
        <v>5709.5499999999993</v>
      </c>
      <c r="J13" s="5">
        <v>3005.2199999999998</v>
      </c>
      <c r="K13" s="5">
        <v>2295.9299999999998</v>
      </c>
      <c r="L13" s="9"/>
      <c r="M13" s="5">
        <v>408.39999999999998</v>
      </c>
    </row>
    <row r="14" ht="15" customHeight="1">
      <c r="A14" s="11" t="s">
        <v>17</v>
      </c>
      <c r="B14" s="5">
        <v>74</v>
      </c>
      <c r="C14" s="5">
        <v>11.028</v>
      </c>
      <c r="D14" s="5">
        <v>2700</v>
      </c>
      <c r="E14" s="5">
        <v>0.10000000000000001</v>
      </c>
      <c r="I14" s="5">
        <f t="shared" ref="I14:I15" si="1">J14+K14+M14+P14</f>
        <v>2892.3299999999999</v>
      </c>
      <c r="J14" s="5">
        <v>1518.8499999999999</v>
      </c>
      <c r="K14" s="5">
        <v>1169.28</v>
      </c>
      <c r="L14" s="12">
        <v>1341.4300000000001</v>
      </c>
      <c r="M14" s="5">
        <v>204.19999999999999</v>
      </c>
      <c r="P14" s="5"/>
    </row>
    <row r="15" ht="15" customHeight="1">
      <c r="A15" t="s">
        <v>29</v>
      </c>
      <c r="B15">
        <v>80</v>
      </c>
      <c r="C15" s="5">
        <v>11.028</v>
      </c>
      <c r="D15">
        <v>2725</v>
      </c>
      <c r="E15" s="5">
        <v>0.10000000000000001</v>
      </c>
      <c r="I15" s="5">
        <f t="shared" si="1"/>
        <v>5753.0900000000001</v>
      </c>
      <c r="J15">
        <v>3026.3800000000001</v>
      </c>
      <c r="K15">
        <v>2318.3099999999999</v>
      </c>
      <c r="L15" s="12">
        <v>6853.3599999999997</v>
      </c>
      <c r="M15">
        <v>408.39999999999998</v>
      </c>
    </row>
    <row r="16" ht="15" customHeight="1">
      <c r="A16" t="s">
        <v>21</v>
      </c>
      <c r="B16">
        <v>86</v>
      </c>
      <c r="C16" s="5">
        <v>11.028</v>
      </c>
      <c r="D16">
        <v>2750</v>
      </c>
      <c r="E16" s="5">
        <v>0.10000000000000001</v>
      </c>
      <c r="I16">
        <f>J16+K16+M16</f>
        <v>7684.54</v>
      </c>
      <c r="J16">
        <v>1603.5599999999999</v>
      </c>
      <c r="K16" s="13">
        <v>5876.7799999999997</v>
      </c>
      <c r="L16" s="13"/>
      <c r="M16">
        <v>204.19999999999999</v>
      </c>
    </row>
    <row r="17" ht="15" customHeight="1">
      <c r="A17" t="s">
        <v>22</v>
      </c>
      <c r="B17">
        <v>90</v>
      </c>
      <c r="C17" s="5">
        <v>11.028</v>
      </c>
      <c r="D17">
        <v>2760</v>
      </c>
      <c r="E17" s="5">
        <v>0.10000000000000001</v>
      </c>
      <c r="I17">
        <f>J17+K17+L17+M17</f>
        <v>7004.21</v>
      </c>
      <c r="J17">
        <v>1554.3399999999999</v>
      </c>
      <c r="K17">
        <v>1071.1700000000001</v>
      </c>
      <c r="L17" s="9">
        <v>3970.3000000000002</v>
      </c>
      <c r="M17">
        <v>408.39999999999998</v>
      </c>
    </row>
    <row r="18" ht="15" customHeight="1">
      <c r="A18" t="s">
        <v>30</v>
      </c>
      <c r="B18">
        <v>95</v>
      </c>
      <c r="C18" s="5">
        <v>11.028</v>
      </c>
      <c r="D18">
        <v>2770</v>
      </c>
      <c r="E18" s="5">
        <v>0.10000000000000001</v>
      </c>
      <c r="I18">
        <f>K18+L18+M18+P18</f>
        <v>12506.23</v>
      </c>
      <c r="K18">
        <v>2333.6300000000001</v>
      </c>
      <c r="L18" s="9">
        <v>5371.9099999999999</v>
      </c>
      <c r="M18">
        <v>204.19999999999999</v>
      </c>
      <c r="P18">
        <v>4596.4899999999998</v>
      </c>
    </row>
    <row r="19" ht="15" customHeight="1">
      <c r="A19" t="s">
        <v>27</v>
      </c>
      <c r="B19">
        <v>100</v>
      </c>
      <c r="C19" s="5">
        <v>11.028</v>
      </c>
      <c r="D19">
        <v>2780</v>
      </c>
      <c r="E19" s="5">
        <v>0.10000000000000001</v>
      </c>
      <c r="I19">
        <f>J19+K19+L19+M19</f>
        <v>4339.3699999999999</v>
      </c>
      <c r="J19">
        <v>1504.5599999999999</v>
      </c>
      <c r="K19">
        <v>1275.1199999999999</v>
      </c>
      <c r="L19" s="9">
        <v>1355.49</v>
      </c>
      <c r="M19">
        <v>204.19999999999999</v>
      </c>
    </row>
    <row r="20" ht="15" customHeight="1">
      <c r="A20" t="s">
        <v>31</v>
      </c>
      <c r="B20">
        <v>105</v>
      </c>
      <c r="C20">
        <v>11.028</v>
      </c>
      <c r="D20">
        <v>2790</v>
      </c>
      <c r="E20">
        <v>0.10000000000000001</v>
      </c>
      <c r="I20">
        <f>J20+K20+M20</f>
        <v>2983.8799999999997</v>
      </c>
      <c r="J20">
        <v>1504.5599999999999</v>
      </c>
      <c r="K20">
        <v>1275.1199999999999</v>
      </c>
      <c r="L20" s="9"/>
      <c r="M20">
        <v>204.19999999999999</v>
      </c>
    </row>
    <row r="21" ht="15.75" customHeight="1">
      <c r="A21" t="s">
        <v>32</v>
      </c>
      <c r="B21">
        <v>130</v>
      </c>
      <c r="C21">
        <v>11.028</v>
      </c>
      <c r="D21">
        <v>2800</v>
      </c>
      <c r="E21">
        <v>0.10000000000000001</v>
      </c>
      <c r="I21">
        <f>J21+K21+M21+P21</f>
        <v>4213.3999999999996</v>
      </c>
      <c r="J21">
        <v>1471.78</v>
      </c>
      <c r="K21">
        <v>1275.1199999999999</v>
      </c>
      <c r="L21" s="9"/>
      <c r="M21">
        <v>204.19999999999999</v>
      </c>
      <c r="P21" s="9">
        <v>1262.3</v>
      </c>
    </row>
    <row r="22" ht="15.75" customHeight="1">
      <c r="L22" s="9"/>
    </row>
    <row r="23" ht="15.75" customHeight="1">
      <c r="L23" s="9"/>
    </row>
    <row r="24" ht="15.75" customHeight="1">
      <c r="L24" s="9"/>
    </row>
    <row r="25" ht="15.75" customHeight="1">
      <c r="L25" s="9"/>
    </row>
    <row r="26" ht="15.75" customHeight="1">
      <c r="L26" s="9"/>
    </row>
    <row r="27" ht="15.75" customHeight="1">
      <c r="L27" s="9"/>
    </row>
    <row r="28" ht="15.75" customHeight="1">
      <c r="L28" s="9"/>
    </row>
    <row r="29" ht="15.75" customHeight="1">
      <c r="L29" s="9"/>
    </row>
    <row r="30" ht="15.75" customHeight="1">
      <c r="L30" s="9"/>
    </row>
    <row r="31" ht="15.75" customHeight="1">
      <c r="L31" s="9"/>
    </row>
    <row r="32" ht="15.75" customHeight="1">
      <c r="L32" s="9"/>
    </row>
    <row r="33" ht="15.75" customHeight="1">
      <c r="L33" s="9"/>
    </row>
    <row r="34" ht="15.75" customHeight="1">
      <c r="L34" s="9"/>
    </row>
    <row r="35" ht="15.75" customHeight="1">
      <c r="L35" s="9"/>
    </row>
    <row r="36" ht="15.75" customHeight="1">
      <c r="L36" s="9"/>
    </row>
    <row r="37" ht="15.75" customHeight="1">
      <c r="L37" s="9"/>
    </row>
    <row r="38" ht="15.75" customHeight="1">
      <c r="L38" s="9"/>
    </row>
    <row r="39" ht="15.75" customHeight="1">
      <c r="L39" s="9"/>
    </row>
    <row r="40" ht="15.75" customHeight="1">
      <c r="L40" s="9"/>
    </row>
    <row r="41" ht="15.75" customHeight="1">
      <c r="L41" s="9"/>
    </row>
    <row r="42" ht="15.75" customHeight="1">
      <c r="L42" s="9"/>
    </row>
    <row r="43" ht="15.75" customHeight="1">
      <c r="L43" s="9"/>
    </row>
    <row r="44" ht="15.75" customHeight="1">
      <c r="L44" s="9"/>
    </row>
    <row r="45" ht="15.75" customHeight="1">
      <c r="L45" s="9"/>
    </row>
    <row r="46" ht="15.75" customHeight="1">
      <c r="L46" s="9"/>
    </row>
    <row r="47" ht="15.75" customHeight="1">
      <c r="L47" s="9"/>
    </row>
    <row r="48" ht="15.75" customHeight="1">
      <c r="L48" s="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16:L16"/>
  </mergeCells>
  <pageMargins left="0" right="0" top="0" bottom="0" header="0" footer="0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F5" sqref="F5"/>
    </sheetView>
  </sheetViews>
  <sheetFormatPr defaultColWidth="14.42188" defaultRowHeight="15" customHeight="1"/>
  <cols>
    <col min="1" max="1" width="13.42188" customWidth="1"/>
    <col min="2" max="2" width="11.71094" customWidth="1"/>
    <col min="3" max="3" width="10.14063" customWidth="1"/>
    <col min="4" max="5" width="8.710938" customWidth="1"/>
    <col min="6" max="6" width="27.42188" customWidth="1"/>
  </cols>
  <sheetData>
    <row r="1" ht="15" customHeight="1">
      <c r="B1" s="1" t="s">
        <v>0</v>
      </c>
      <c r="C1" s="1"/>
      <c r="D1" s="2" t="s">
        <v>1</v>
      </c>
      <c r="E1" s="2"/>
    </row>
    <row r="2" ht="15" customHeight="1">
      <c r="A2" s="6" t="s">
        <v>10</v>
      </c>
      <c r="B2" s="1" t="s">
        <v>33</v>
      </c>
      <c r="C2" s="1" t="s">
        <v>34</v>
      </c>
      <c r="D2" s="2" t="s">
        <v>15</v>
      </c>
      <c r="E2" s="2" t="s">
        <v>38</v>
      </c>
      <c r="F2" s="3" t="s">
        <v>2</v>
      </c>
      <c r="G2" t="s">
        <v>3</v>
      </c>
      <c r="H2" t="s">
        <v>39</v>
      </c>
    </row>
    <row r="3" ht="15" customHeight="1">
      <c r="A3" t="s">
        <v>27</v>
      </c>
      <c r="F3">
        <f>G3+H3</f>
        <v>5682.2199999999993</v>
      </c>
      <c r="G3">
        <v>4936.3199999999997</v>
      </c>
      <c r="H3">
        <v>745.89999999999998</v>
      </c>
    </row>
    <row r="4" ht="15" customHeight="1">
      <c r="A4" t="s">
        <v>31</v>
      </c>
      <c r="F4">
        <f>G4+H4</f>
        <v>6691.1099999999997</v>
      </c>
      <c r="G4">
        <v>5945.21</v>
      </c>
      <c r="H4">
        <v>745.89999999999998</v>
      </c>
    </row>
    <row r="5" ht="15" customHeight="1">
      <c r="A5" t="s">
        <v>32</v>
      </c>
      <c r="F5">
        <f>G5+H5</f>
        <v>6403.7299999999996</v>
      </c>
      <c r="G5">
        <f>6403.73-745.9</f>
        <v>5657.8299999999999</v>
      </c>
      <c r="H5">
        <v>745.89999999999998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2188" defaultRowHeight="15" customHeight="1"/>
  <cols>
    <col min="1" max="14" width="8.710938" customWidth="1"/>
    <col min="15" max="16" width="10.85156" customWidth="1"/>
    <col min="17" max="18" width="8.710938" customWidth="1"/>
  </cols>
  <sheetData>
    <row r="1" ht="15" customHeight="1">
      <c r="B1" s="1" t="s">
        <v>0</v>
      </c>
      <c r="C1" s="1"/>
      <c r="D1" s="2" t="s">
        <v>1</v>
      </c>
      <c r="E1" s="2"/>
    </row>
    <row r="2" ht="15" customHeight="1">
      <c r="A2" s="6" t="s">
        <v>10</v>
      </c>
      <c r="B2" s="1" t="s">
        <v>33</v>
      </c>
      <c r="C2" s="1" t="s">
        <v>34</v>
      </c>
      <c r="D2" s="2" t="s">
        <v>15</v>
      </c>
      <c r="E2" s="2" t="s">
        <v>38</v>
      </c>
      <c r="H2" s="5" t="s">
        <v>2</v>
      </c>
      <c r="J2" s="5" t="s">
        <v>40</v>
      </c>
      <c r="K2" s="5" t="s">
        <v>41</v>
      </c>
      <c r="L2" s="5" t="s">
        <v>6</v>
      </c>
      <c r="M2" s="5" t="s">
        <v>42</v>
      </c>
      <c r="N2" s="5" t="s">
        <v>5</v>
      </c>
      <c r="O2" s="5" t="s">
        <v>3</v>
      </c>
      <c r="P2" s="5" t="s">
        <v>37</v>
      </c>
      <c r="Q2" s="5" t="s">
        <v>43</v>
      </c>
      <c r="R2" s="5" t="s">
        <v>44</v>
      </c>
    </row>
    <row r="3" ht="15" customHeight="1">
      <c r="A3" s="5" t="s">
        <v>27</v>
      </c>
      <c r="B3" s="5">
        <v>653</v>
      </c>
      <c r="C3" s="5">
        <v>637</v>
      </c>
      <c r="D3" s="5">
        <v>73.180000000000007</v>
      </c>
      <c r="E3" s="5">
        <v>2362</v>
      </c>
      <c r="H3" s="5">
        <f>J3+K3+L3+M3+N3+O3+P3+Q3</f>
        <v>17591.540000000001</v>
      </c>
      <c r="J3" s="5">
        <v>2132.1100000000001</v>
      </c>
      <c r="K3" s="5">
        <v>1560</v>
      </c>
      <c r="L3" s="5">
        <v>544.15999999999997</v>
      </c>
      <c r="M3" s="5">
        <v>1327.1600000000001</v>
      </c>
      <c r="N3" s="5">
        <v>1758.74</v>
      </c>
      <c r="O3" s="5">
        <v>5912.3199999999997</v>
      </c>
      <c r="P3" s="5">
        <v>2563.6500000000001</v>
      </c>
      <c r="Q3" s="5">
        <v>1793.4000000000001</v>
      </c>
    </row>
    <row r="4" ht="15" customHeight="1">
      <c r="A4" s="5" t="s">
        <v>31</v>
      </c>
      <c r="H4" s="5">
        <f>J4+K4+L4+M4+N4+O4+P4+Q4+R4+S4</f>
        <v>8816.4700000000012</v>
      </c>
      <c r="J4" s="5">
        <v>547.90999999999997</v>
      </c>
      <c r="K4" s="5">
        <v>213</v>
      </c>
      <c r="L4" s="5">
        <v>285.27999999999997</v>
      </c>
      <c r="M4" s="5">
        <v>1990</v>
      </c>
      <c r="N4" s="5">
        <v>964.20000000000005</v>
      </c>
      <c r="O4" s="5">
        <v>2970.1700000000001</v>
      </c>
      <c r="P4" s="5">
        <v>626.71000000000004</v>
      </c>
      <c r="Q4" s="5">
        <v>949.20000000000005</v>
      </c>
      <c r="R4" s="5">
        <v>270</v>
      </c>
    </row>
    <row r="5" ht="15" customHeight="1">
      <c r="A5" s="5" t="s">
        <v>32</v>
      </c>
      <c r="H5" s="5">
        <f>J5+K5+L5+M5+N5+O5+P5</f>
        <v>9174.1599999999999</v>
      </c>
      <c r="J5" s="5">
        <v>547.90999999999997</v>
      </c>
      <c r="K5" s="5">
        <v>213</v>
      </c>
      <c r="L5" s="5">
        <v>285.27999999999997</v>
      </c>
      <c r="M5" s="5">
        <v>0</v>
      </c>
      <c r="N5" s="5">
        <v>4542.25</v>
      </c>
      <c r="O5" s="5">
        <v>2970.1700000000001</v>
      </c>
      <c r="P5" s="5">
        <v>615.54999999999995</v>
      </c>
      <c r="Q5" s="5">
        <v>0</v>
      </c>
    </row>
    <row r="6" ht="15" customHeight="1">
      <c r="A6" s="5" t="s">
        <v>17</v>
      </c>
      <c r="H6" s="5">
        <f>J6+K6+L6+N6+O6+P6+Q6</f>
        <v>11354.119999999999</v>
      </c>
      <c r="J6" s="5">
        <v>547.90999999999997</v>
      </c>
      <c r="K6" s="5">
        <v>213</v>
      </c>
      <c r="L6" s="5">
        <v>285.27999999999997</v>
      </c>
      <c r="N6" s="5">
        <v>1348</v>
      </c>
      <c r="O6" s="5">
        <v>2907.1700000000001</v>
      </c>
      <c r="P6" s="5">
        <v>5216.0299999999997</v>
      </c>
      <c r="Q6" s="5">
        <v>836.73000000000002</v>
      </c>
    </row>
    <row r="13" ht="15" customHeight="1">
      <c r="B13" s="5" t="s">
        <v>45</v>
      </c>
      <c r="C13" s="5" t="s">
        <v>46</v>
      </c>
    </row>
    <row r="14" ht="15" customHeight="1">
      <c r="C14" s="5">
        <v>16057044</v>
      </c>
    </row>
    <row r="15" ht="15" customHeight="1">
      <c r="B15" s="5">
        <v>642</v>
      </c>
      <c r="C15" s="5">
        <v>802</v>
      </c>
    </row>
    <row r="16" ht="15" customHeight="1">
      <c r="B16" s="5">
        <v>638</v>
      </c>
      <c r="C16" s="5">
        <v>714</v>
      </c>
    </row>
    <row r="17" ht="15" customHeight="1">
      <c r="B17" s="5">
        <f t="shared" ref="B17:C17" si="0">B15-B16</f>
        <v>4</v>
      </c>
      <c r="C17" s="5">
        <f t="shared" si="0"/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DevExpress Office File API/24.2.3.0</Application>
  <AppVersion>24.2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2026-05-18T07:39:50Z</dcterms:created>
  <dcterms:modified xsi:type="dcterms:W3CDTF">2026-09-23T09:25:00Z</dcterms:modified>
</cp:coreProperties>
</file>